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nna.y/Documents/Nebius/Module1/"/>
    </mc:Choice>
  </mc:AlternateContent>
  <xr:revisionPtr revIDLastSave="0" documentId="13_ncr:1_{010A3CD7-15A7-E94E-BBD1-937FC8FEA48F}" xr6:coauthVersionLast="47" xr6:coauthVersionMax="47" xr10:uidLastSave="{00000000-0000-0000-0000-000000000000}"/>
  <bookViews>
    <workbookView xWindow="1680" yWindow="2160" windowWidth="28800" windowHeight="18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6" i="1" l="1"/>
  <c r="P47" i="1"/>
  <c r="P48" i="1"/>
  <c r="P49" i="1"/>
  <c r="P50" i="1"/>
  <c r="P51" i="1"/>
  <c r="P31" i="1"/>
  <c r="P32" i="1"/>
  <c r="P33" i="1"/>
  <c r="P34" i="1"/>
  <c r="P35" i="1"/>
  <c r="P36" i="1"/>
  <c r="P37" i="1"/>
  <c r="P38" i="1"/>
  <c r="P39" i="1"/>
  <c r="P40" i="1"/>
  <c r="P41" i="1"/>
  <c r="P42" i="1"/>
  <c r="P43" i="1"/>
  <c r="P44" i="1"/>
  <c r="P45" i="1"/>
  <c r="P5" i="1"/>
  <c r="P6" i="1"/>
  <c r="P7" i="1"/>
  <c r="P8" i="1"/>
  <c r="P9" i="1"/>
  <c r="P10" i="1"/>
  <c r="P11" i="1"/>
  <c r="P12" i="1"/>
  <c r="P13" i="1"/>
  <c r="P14" i="1"/>
  <c r="P15" i="1"/>
  <c r="P16" i="1"/>
  <c r="P17" i="1"/>
  <c r="P18" i="1"/>
  <c r="P19" i="1"/>
  <c r="P20" i="1"/>
  <c r="P21" i="1"/>
  <c r="P22" i="1"/>
  <c r="P23" i="1"/>
  <c r="P24" i="1"/>
  <c r="P25" i="1"/>
  <c r="P26" i="1"/>
  <c r="P27" i="1"/>
  <c r="P28" i="1"/>
  <c r="P29" i="1"/>
  <c r="P30" i="1"/>
  <c r="P4" i="1"/>
  <c r="P3" i="1"/>
  <c r="P2" i="1"/>
</calcChain>
</file>

<file path=xl/sharedStrings.xml><?xml version="1.0" encoding="utf-8"?>
<sst xmlns="http://schemas.openxmlformats.org/spreadsheetml/2006/main" count="459" uniqueCount="228">
  <si>
    <t>product_name</t>
  </si>
  <si>
    <t>Product_attribute_list</t>
  </si>
  <si>
    <t>material</t>
  </si>
  <si>
    <t>warranty</t>
  </si>
  <si>
    <t>generated_description</t>
  </si>
  <si>
    <t>latency_ms</t>
  </si>
  <si>
    <t>input_tokens</t>
  </si>
  <si>
    <t>output_tokens</t>
  </si>
  <si>
    <t>fluency</t>
  </si>
  <si>
    <t>grammar</t>
  </si>
  <si>
    <t>tone</t>
  </si>
  <si>
    <t>length</t>
  </si>
  <si>
    <t>grounding</t>
  </si>
  <si>
    <t>latency_rating</t>
  </si>
  <si>
    <t>cost_rating</t>
  </si>
  <si>
    <t>cost_usd</t>
  </si>
  <si>
    <t>final_score</t>
  </si>
  <si>
    <t>Apple iPhone 15 Pro</t>
  </si>
  <si>
    <t>features: A17 Pro chip, 120 Hz ProMotion display, USB‑C fast charging; dimensions: compact</t>
  </si>
  <si>
    <t>titanium frame, Ceramic Shield glass</t>
  </si>
  <si>
    <t>1‑year limited warranty</t>
  </si>
  <si>
    <t>Built for everyday reliability, the Apple iPhone 15 Pro combines a durable titanium frame with Ceramic Shield glass to deliver lasting value. With its compact design, it's perfect for on-the-go use. The A17 Pro chip and 120 Hz ProMotion display ensure seamless performance and stunning visuals. Fast charging via USB-C keeps you powered up. Backed by a 1-year limited warranty, it's a purchase you can make with confidence.</t>
  </si>
  <si>
    <t>good</t>
  </si>
  <si>
    <t>pass</t>
  </si>
  <si>
    <t>Samsung Galaxy S24 Ultra</t>
  </si>
  <si>
    <t>features: 200 MP camera, S‑Pen support, 120 Hz AMOLED; sustainably sourced</t>
  </si>
  <si>
    <t>Armor Aluminum frame, Gorilla Glass Victus</t>
  </si>
  <si>
    <t>Capture life's moments with the Samsung Galaxy S24 Ultra. Its 200 MP camera delivers stunning detail, while S-Pen support unlocks new creative possibilities. Enjoy seamless visuals on the 120 Hz AMOLED display, protected by an Armor Aluminum frame and Gorilla Glass Victus. Backed by a 1-year limited warranty, you can rely on this sustainably sourced device to keep up with your active lifestyle.</t>
  </si>
  <si>
    <t>Google Pixel 8 Pro</t>
  </si>
  <si>
    <t>features: Tensor G3 chip, Magic Eraser, 50 MP camera; rating: 4.7/5</t>
  </si>
  <si>
    <t>matte glass back, aluminum frame</t>
  </si>
  <si>
    <t>Built for everyday reliability, the Google Pixel 8 Pro combines a sleek matte glass back with an aluminum frame to deliver a premium feel. Powered by the Tensor G3 chip, it captures life's moments with stunning clarity, thanks to its 50 MP camera and innovative Magic Eraser feature. With a 4.7/5 rating, you can trust it will get the job done. Backed by a 1-year limited warranty, you can make this purchase with confidence.</t>
  </si>
  <si>
    <t>ok</t>
  </si>
  <si>
    <t>fail</t>
  </si>
  <si>
    <t>Sony WH‑1000XM5 Headphones</t>
  </si>
  <si>
    <t>features: active noise cancelling, 30 hr battery, Bluetooth 5.2; capacity: large</t>
  </si>
  <si>
    <t>synthetic leather earcups</t>
  </si>
  <si>
    <t>Immerse yourself in exceptional sound with the Sony WH‑1000XM5 Headphones. Featuring active noise cancelling technology, these headphones deliver a distraction-free listening experience. Enjoy up to 30 hours of battery life and seamless connectivity with Bluetooth 5.2. The large synthetic leather earcups provide a comfortable fit. Backed by a 1-year limited warranty, you can trust these headphones to provide years of reliable listening.</t>
  </si>
  <si>
    <t>Bose QuietComfort Ultra Earbuds</t>
  </si>
  <si>
    <t>features: CustomTune sound calibration, ANC, IPX4; award‑winning design</t>
  </si>
  <si>
    <t>silicone ear tips</t>
  </si>
  <si>
    <t>Experience the perfect blend of sound and comfort with the Bose QuietComfort Ultra Earbuds. Featuring CustomTune sound calibration and Advanced Noise Cancellation, these earbuds deliver personalized audio and immersive quiet. Built with durable silicone ear tips and an award-winning design, they're designed to last. Plus, a 1-year limited warranty ensures your investment is protected.</t>
  </si>
  <si>
    <t>Amazon Echo Dot (5th Gen)</t>
  </si>
  <si>
    <t>features: Alexa voice assistant, temperature sensor, improved bass; sustainably sourced</t>
  </si>
  <si>
    <t>recycled fabric mesh</t>
  </si>
  <si>
    <t>The Amazon Echo Dot (5th Gen) is a compact smart speaker that's designed to fit seamlessly into your home. Featuring Alexa, it's a straightforward way to control your living space with voice commands. A built-in temperature sensor and improved bass ensure a richer audio experience. Made from sustainably sourced recycled fabric mesh, it's a thoughtful choice for the eco-conscious user. Backed by a 1-year limited warranty, you can enjoy it with confidence.</t>
  </si>
  <si>
    <t>Dell XPS 13 9310 Laptop</t>
  </si>
  <si>
    <t>features: 13.4″ FHD+ display, Intel Core i5, Thunderbolt 4; dimensions: compact</t>
  </si>
  <si>
    <t>CNC aluminum &amp; carbon‑fiber palmrest</t>
  </si>
  <si>
    <t>1‑year limited hardware warranty</t>
  </si>
  <si>
    <t>Experience the perfect blend of style and performance with the Dell XPS 13 9310 Laptop. This compact powerhouse features a stunning 13.4″ FHD+ display, paired with an Intel Core i5 processor for seamless multitasking. The durable CNC aluminum and carbon-fiber palmrest construction ensures a premium feel. With Thunderbolt 4 and a 1-year limited hardware warranty, you can work and play with confidence.</t>
  </si>
  <si>
    <t>Apple MacBook Air 13″ (M3)</t>
  </si>
  <si>
    <t>features: M3 chip, 18‑hour battery, 1080p camera; energy efficient</t>
  </si>
  <si>
    <t>recycled aluminum unibody</t>
  </si>
  <si>
    <t>The Apple MacBook Air 13" (M3) is designed for seamless performance and efficiency. Powered by the M3 chip, this laptop delivers fast and reliable computing. Its 18-hour battery life keeps you going all day. The 1080p camera ensures clear video calls. Crafted from recycled aluminum, this unibody laptop is both durable and eco-friendly. With a 1-year limited warranty, you can trust it to work reliably for you.</t>
  </si>
  <si>
    <t>Microsoft Surface Pro 10</t>
  </si>
  <si>
    <t>features: Intel Core Ultra, detachable keyboard, 13″ PixelSense; dimensions: compact</t>
  </si>
  <si>
    <t>magnesium alloy chassis</t>
  </si>
  <si>
    <t>Built for productivity on the go, the Microsoft Surface Pro 10 boasts a compact magnesium alloy chassis and a vibrant 13″ PixelSense display. Powered by Intel Core Ultra, it delivers smooth performance and effortless multitasking. Enjoy the freedom of a detachable keyboard, perfect for working in comfort or switching to tablet mode. Backed by a 1-year limited warranty, you can rely on this reliable companion to keep up with your busy lifestyle.</t>
  </si>
  <si>
    <t>Garmin Forerunner 255</t>
  </si>
  <si>
    <t>features: multi‑band GPS, HRV status, 14‑day battery; rating: 4.7/5</t>
  </si>
  <si>
    <t>fiber‑reinforced polymer</t>
  </si>
  <si>
    <t>Designed for runners who demand precision, the Garmin Forerunner 255 combines multi-band GPS with HRV status to deliver accurate performance tracking. With a battery life of up to 14 days, you can track your progress without worrying about recharging. Crafted from durable fiber-reinforced polymer, this watch is built to withstand the rigors of daily training. Peace of mind comes with a 1-year limited warranty.</t>
  </si>
  <si>
    <t>Fitbit Charge 6</t>
  </si>
  <si>
    <t>features: heart‑rate monitor, built‑in GPS, 7‑day battery; color options: multiple</t>
  </si>
  <si>
    <t>aluminum case</t>
  </si>
  <si>
    <t>Built with durability in mind, the Fitbit Charge 6 features a sleek aluminum case that tracks your every move. With a built-in GPS and heart-rate monitor, you can stay on top of your fitness goals. Plus, its 7-day battery ensures you can wear it consistently, without the hassle of frequent recharging. Choose from multiple color options to suit your style. Backed by a 1-year limited warranty, this device is a reliable companion for your fitness journey.</t>
  </si>
  <si>
    <t>GoPro HERO12 Black</t>
  </si>
  <si>
    <t>features: 5.3K60 video, HyperSmooth 6.0, waterproof 10 m; capacity: large</t>
  </si>
  <si>
    <t>rugged polycarbonate</t>
  </si>
  <si>
    <t>Built for capturing life's most memorable moments, the GoPro HERO12 Black combines rugged polycarbonate construction with advanced features like 5.3K60 video and HyperSmooth 6.0 stabilization. Perfect for underwater adventures or high-speed activities, this camera is waterproof up to 10 meters. With a large capacity and 1-year limited warranty, you can trust it to deliver high-quality footage every time.</t>
  </si>
  <si>
    <t>DJI Mini 4 Pro Drone</t>
  </si>
  <si>
    <t>features: 4K/60fps, omnidirectional obstacle sensing, &lt;250 g; rating: 4.7/5</t>
  </si>
  <si>
    <t>composite plastic</t>
  </si>
  <si>
    <t>Capture life's moments from new heights with the DJI Mini 4 Pro Drone. This compact companion boasts 4K/60fps video and omnidirectional obstacle sensing, ensuring smooth, safe flight. Constructed from durable composite plastic, it's designed to withstand daily use. With a 4.7-star rating and 1-year limited warranty, you can trust this reliable drone to deliver stunning aerial shots and memorable experiences.</t>
  </si>
  <si>
    <t>Nintendo Switch OLED</t>
  </si>
  <si>
    <t>features: 7″ OLED screen, docked &amp; handheld modes, 64 GB storage; capacity: large</t>
  </si>
  <si>
    <t>plastic chassis</t>
  </si>
  <si>
    <t>Experience immersive gaming with the Nintendo Switch OLED. This large capacity console boasts a stunning 7″ OLED screen for vibrant visuals in both docked and handheld modes. With 64 GB of storage, you'll have ample space for your favorite games and apps. The durable plastic chassis ensures a solid build, and a 1-year limited warranty provides peace of mind for your purchase.</t>
  </si>
  <si>
    <t>PlayStation 5 Slim</t>
  </si>
  <si>
    <t>features: ray tracing, haptic feedback controller, 1 TB SSD; battery: long‑lasting</t>
  </si>
  <si>
    <t>plastic shell</t>
  </si>
  <si>
    <t>Unleash immersive gaming with the PlayStation 5 Slim. This powerful console features ray tracing for lifelike graphics and a haptic feedback controller that puts you in the game. With 1 TB of SSD storage, you'll have ample room for your favorite titles. Its long-lasting battery ensures hours of uninterrupted fun. Backed by a 1-year limited warranty, this sleek console delivers reliable performance and endless entertainment.</t>
  </si>
  <si>
    <t>Xbox Series X</t>
  </si>
  <si>
    <t>features: 12 TFLOPS GPU, 1 TB SSD, 4K @ 120 Hz; battery: long‑lasting</t>
  </si>
  <si>
    <t>matte black casing</t>
  </si>
  <si>
    <t>Experience console gaming at its finest with the Xbox Series X. Equipped with a 12 TFLOPS GPU and 1 TB SSD, this powerhouse delivers 4K resolution at 120 Hz for a truly immersive experience. The long-lasting battery ensures uninterrupted play. Protected by a 1-year limited warranty, you can enjoy your favorite games with confidence.</t>
  </si>
  <si>
    <t>Instant Pot Duo 6‑Quart</t>
  </si>
  <si>
    <t>features: 7‑in‑1 multicooker, stainless steel inner pot, 1000 W heating; weight: light</t>
  </si>
  <si>
    <t>18/8 stainless steel</t>
  </si>
  <si>
    <t>Cook up a world of possibilities with the Instant Pot Duo 6-Quart. This versatile 7-in-1 multicooker seamlessly switches between pressure cooking, slow cooking, sautéing, and more. Constructed from durable 18/8 stainless steel, its lightweight design makes it easy to maneuver. With 1000W of powerful heating, you'll achieve perfect results every time. Enjoy peace of mind with a 1-year limited warranty.</t>
  </si>
  <si>
    <t>Keurig K‑Supreme Plus Smart</t>
  </si>
  <si>
    <t>features: multistream extraction, BrewID, 78 oz reservoir; capacity: large</t>
  </si>
  <si>
    <t>brushed stainless steel accents</t>
  </si>
  <si>
    <t>Elevate your coffee experience with the Keurig K-Supreme Plus Smart. This versatile brewer combines multistream extraction with BrewID technology to deliver rich and full-bodied flavors. With a 78 oz reservoir, it's perfect for large households or frequent users. Brushed stainless steel accents add a touch of sophistication to any kitchen, while a 1-year limited warranty provides peace of mind for years to come.</t>
  </si>
  <si>
    <t>Vitamix 5200 Blender</t>
  </si>
  <si>
    <t>features: variable speed, 2‑hp motor, self‑cleaning; sustainably sourced</t>
  </si>
  <si>
    <t>BPA‑free Tritan jar</t>
  </si>
  <si>
    <t>7‑year warranty</t>
  </si>
  <si>
    <t>The Vitamix 5200 Blender is a powerhouse of nutrition and convenience. With its variable speed control and robust 2-hp motor, this blender effortlessly handles even the toughest ingredients. The self-cleaning feature makes maintenance a breeze. Built with sustainably sourced BPA-free Tritan jar, you can blend with confidence. Enjoy a hassle-free experience with a 7-year warranty that covers you for the long haul.</t>
  </si>
  <si>
    <t>Dyson V15 Detect Vacuum</t>
  </si>
  <si>
    <t>features: laser dust detection, HEPA filtration, 60‑min run‑time; energy efficient</t>
  </si>
  <si>
    <t>polycarbonate &amp; aluminum</t>
  </si>
  <si>
    <t>2‑year parts &amp; labor</t>
  </si>
  <si>
    <t>The Dyson V15 Detect Vacuum offers a superior cleaning experience with its advanced laser dust detection and HEPA filtration. Its energy-efficient design provides up to 60 minutes of run-time, ideal for larger spaces. Constructed from durable polycarbonate and aluminum, this vacuum is built to withstand regular use. With a 2-year warranty on parts and labor, you can trust it to deliver reliable performance. Upgrade your cleaning routine with the Dyson V15 Detect Vacuum.</t>
  </si>
  <si>
    <t>iRobot Roomba j7+</t>
  </si>
  <si>
    <t>features: PrecisionVision navigation, self‑emptying Clean Base, Alexa; award‑winning design</t>
  </si>
  <si>
    <t>plastic housing</t>
  </si>
  <si>
    <t>"Meet the iRobot Roomba j7+, a cutting-edge robot vacuum that navigates with precision and empties its own dustbin. With its sleek plastic housing and Alexa compatibility, this award-winning design makes cleaning effortless. Whether you're away from home or upstairs, PrecisionVision navigation ensures a thorough clean. Backed by a 1-year limited warranty, this reliable robot is a smart investment for a cleaner home."</t>
  </si>
  <si>
    <t>Yeti Rambler 20 oz Tumbler</t>
  </si>
  <si>
    <t>features: double‑wall vacuum insulated, MagSlider lid; dimensions: compact</t>
  </si>
  <si>
    <t>kitchen‑grade stainless steel</t>
  </si>
  <si>
    <t>5‑year warranty</t>
  </si>
  <si>
    <t>Take your drinks to the next level with the Yeti Rambler 20oz Tumbler. Its double-wall vacuum insulation keeps liquids hot or cold for hours, while the MagSlider lid ensures a secure, leak-proof seal. Crafted from durable kitchen-grade stainless steel, this compact tumbler is built to withstand daily use. Backed by a 5-year warranty, you can trust it to keep up with your active lifestyle.</t>
  </si>
  <si>
    <t>Stanley Quencher H2.0 40 oz</t>
  </si>
  <si>
    <t>features: vacuum insulated, flow‑state lid, cup‑holder friendly; battery: long‑lasting</t>
  </si>
  <si>
    <t>recycled stainless steel</t>
  </si>
  <si>
    <t>lifetime warranty</t>
  </si>
  <si>
    <t>The Stanley Quencher H2.0 40 oz is a rugged, reliable companion for your hydration needs. Made from recycled stainless steel, it's built to last. The vacuum insulation keeps drinks hot or cold for hours, while the flow-state lid and cup-holder friendly design make it easy to drink on the go. Backed by a lifetime warranty, this bottle is a trusted choice for everyday use.</t>
  </si>
  <si>
    <t>Hydro Flask 32 oz Wide Mouth</t>
  </si>
  <si>
    <t>features: TempShield insulation, Color Last powder coat; dimensions: compact</t>
  </si>
  <si>
    <t>pro‑grade stainless steel</t>
  </si>
  <si>
    <t>Built for everyday reliability, the Hydro Flask 32 oz Wide Mouth combines pro-grade stainless steel construction with TempShield insulation to keep your drinks hot or cold for hours. Compact and durable, it's perfect for work, school, or on-the-go adventures. Backed by a lifetime warranty, it's a purchase you can make with confidence.</t>
  </si>
  <si>
    <t>Contigo Autoseal West Loop 16 oz</t>
  </si>
  <si>
    <t>features: autoseal spill‑proof lid, double‑wall insulation; dimensions: compact</t>
  </si>
  <si>
    <t>stainless steel</t>
  </si>
  <si>
    <t>For active lifestyles, the Contigo Autoseal West Loop is a reliable choice. Constructed from durable stainless steel, this 16 oz bottle combines a compact design with double-wall insulation for temperature control. The autoseal spill-proof lid ensures secure transport, while the lifetime warranty provides peace of mind for years to come.</t>
  </si>
  <si>
    <t>Nike Air Zoom Pegasus 40</t>
  </si>
  <si>
    <t>features: React foam, Zoom Air units, engineered mesh upper; energy efficient</t>
  </si>
  <si>
    <t>textile &amp; synthetic</t>
  </si>
  <si>
    <t>2‑year manufacturer warranty</t>
  </si>
  <si>
    <t>Built for runners who value performance and comfort, the Nike Air Zoom Pegasus 40 combines React foam and Zoom Air units with an engineered mesh upper. This energy-efficient design provides a smooth ride and responsive feel. Whether you're training for a marathon or a casual jog, this shoe has you covered. Backed by a 2-year manufacturer warranty, it's a reliable choice for runners of all levels.</t>
  </si>
  <si>
    <t>Adidas Ultraboost Light</t>
  </si>
  <si>
    <t>features: Light BOOST midsole, Primeknit+ upper, Continental rubber; rating: 4.7/5</t>
  </si>
  <si>
    <t>Built for everyday performance, the Adidas Ultraboost Light combines Primeknit+ upper with Continental rubber for superior comfort and traction. The Light BOOST midsole provides energized cushioning, while a 4.7/5 rating from satisfied customers speaks to its reliability. Constructed from textile and synthetic materials, it's a durable choice for daily wear. Backed by a 2-year manufacturer warranty, you can trust in its quality and performance.</t>
  </si>
  <si>
    <t>The North Face ThermoBall Eco Jacket</t>
  </si>
  <si>
    <t>features: synthetic ThermoBall insulation, DWR finish; dimensions: compact</t>
  </si>
  <si>
    <t>100% recycled nylon</t>
  </si>
  <si>
    <t>The North Face ThermoBall Eco Jacket offers reliable warmth in a compact package. Constructed from 100% recycled nylon, it's a sustainable choice for outdoor enthusiasts. Synthetic ThermoBall insulation and a DWR finish ensure weather-resistant performance. Perfect for backpacking or layering, this jacket is a versatile companion for any adventure. With a lifetime warranty, you can trust it to keep up with your active lifestyle.</t>
  </si>
  <si>
    <t>Patagonia Black Hole 32 L Backpack</t>
  </si>
  <si>
    <t>features: weather‑resistant, laptop sleeve, padded straps; capacity: large</t>
  </si>
  <si>
    <t>100% recycled polyester ripstop</t>
  </si>
  <si>
    <t>For everyday adventures, the Patagonia Black Hole 32 L Backpack is a reliable companion. Built with 100% recycled polyester ripstop, this weather-resistant pack endures unexpected downpours. Its laptop sleeve and padded straps ensure comfortable carrying, while its large capacity handles extended trips with ease. Backed by a lifetime warranty, this pack is a purchase you can make with confidence.</t>
  </si>
  <si>
    <t>Osprey Farpoint 40</t>
  </si>
  <si>
    <t>features: stowaway harness, laptop sleeve, carry‑on size; energy efficient</t>
  </si>
  <si>
    <t>450D recycled nylon</t>
  </si>
  <si>
    <t>The Osprey Farpoint 40 is a reliable and versatile travel companion. Constructed from durable 450D recycled nylon, it's built to withstand the rigors of frequent use. With a stowaway harness and laptop sleeve, you can easily transition between backpack and carry-on mode. Backed by a lifetime warranty, you can travel with confidence, knowing this product will keep up with your adventures for years to come.</t>
  </si>
  <si>
    <t>LEGO Star Wars Millennium Falcon 75192</t>
  </si>
  <si>
    <t>features: 7 541 pieces, detailed interior, minifigs included; battery: long‑lasting</t>
  </si>
  <si>
    <t>ABS plastic bricks</t>
  </si>
  <si>
    <t>lifetime replacement of missing bricks</t>
  </si>
  <si>
    <t>Unleash your inner builder with the LEGO Star Wars Millennium Falcon 75192. This epic model boasts an astonishing 7,541 pieces, allowing for intricate details and a highly accurate representation of the iconic spaceship. The detailed interior and included minifigs add to its authenticity. Powered by long-lasting batteries, this set brings your Star Wars adventures to life. And, as part of the LEGO promise, a lifetime replacement guarantee covers any missing bricks, giving you peace of mind for years to come.</t>
  </si>
  <si>
    <t>bad</t>
  </si>
  <si>
    <t>LEGO Icons Botanical Orchid 10311</t>
  </si>
  <si>
    <t>features: 608 pieces, adjustable blooms, decorative set; color options: multiple</t>
  </si>
  <si>
    <t>Bring a touch of elegance to your space with the LEGO Icons Botanical Orchid 10311. This exquisite decorative set features adjustable blooms and 608 intricate pieces, crafted from high-quality ABS plastic bricks. With multiple color options to choose from, you can customize the look to suit your style. Built to last, it's backed by a lifetime replacement warranty for missing bricks.</t>
  </si>
  <si>
    <t>Kindle Paperwhite 11th Gen</t>
  </si>
  <si>
    <t>features: 6.8″ glare‑free display, 10‑week battery, USB‑C; dimensions: compact</t>
  </si>
  <si>
    <t>recycled plastic</t>
  </si>
  <si>
    <t>The Kindle Paperwhite 11th Gen is a versatile reading companion that fits seamlessly into your lifestyle. Its compact design and recycled plastic construction make it an eco-friendly choice. Enjoy reading on the 6.8″ glare-free display for hours on end, and recharge with the convenience of USB-C. With a 10-week battery, you can read anywhere, anytime. Backed by a 1-year limited warranty, this device delivers reliable performance and value.</t>
  </si>
  <si>
    <t>Kobo Libra 2</t>
  </si>
  <si>
    <t>features: 7″ E Ink Carta, Bluetooth audiobooks, waterproof IPX8; weight: light</t>
  </si>
  <si>
    <t>The Kobo Libra 2 is a sleek and reliable e-reader, designed to bring you a world of reading pleasure. Its 7" E Ink Carta display provides crisp text and vibrant images, while Bluetooth connectivity lets you enjoy audiobooks on the go. Built with a waterproof plastic chassis, this reader can withstand accidental drops or spills. With a 1-year limited warranty, you can read with confidence.</t>
  </si>
  <si>
    <t>Anker Soundcore Motion+ Speaker</t>
  </si>
  <si>
    <t>features: 30 W audio, Hi‑Res, IPX7 waterproof; energy efficient</t>
  </si>
  <si>
    <t>aluminum grille</t>
  </si>
  <si>
    <t>18‑month warranty</t>
  </si>
  <si>
    <t>Bring music to any moment with the Anker Soundcore Motion+ Speaker. Its 30W audio and Hi-Res capabilities deliver clear sound, while IPX7 waterproofing lets you enjoy it by the pool or at the beach. The aluminum grille adds a touch of sophistication. With its energy-efficient design and 18-month warranty, you can trust this speaker to provide years of reliable sound.</t>
  </si>
  <si>
    <t>Sonos Move 2</t>
  </si>
  <si>
    <t>features: WiFi &amp; Bluetooth, 24‑hr battery, automatic Trueplay; rating: 4.7/5</t>
  </si>
  <si>
    <t>shock‑resistant shell</t>
  </si>
  <si>
    <t>Experience the freedom to take your music anywhere with the Sonos Move 2. This rugged speaker features a shock-resistant shell, ensuring it can withstand the rigors of outdoor adventures. With WiFi and Bluetooth connectivity, you can stream your favorite tunes wirelessly. The 24-hr battery provides all-day listening, while automatic Trueplay tuning ensures rich, detailed sound. Backed by a 1-year limited warranty, the Sonos Move 2 is a reliable companion for your music on the go.</t>
  </si>
  <si>
    <t>Philips Hue White &amp; Color Ambiance Starter Kit</t>
  </si>
  <si>
    <t>features: 16 million colors, Bluetooth &amp; Zigbee, voice control; limited edition</t>
  </si>
  <si>
    <t>plastic bulbs</t>
  </si>
  <si>
    <t>2‑year limited warranty</t>
  </si>
  <si>
    <t>Experience the ultimate in smart lighting with the Philips Hue White &amp; Color Ambiance Starter Kit. This limited edition kit features 16 million colors, allowing you to create the perfect ambiance for any mood or occasion. With Bluetooth and Zigbee connectivity, seamless voice control is a breeze. The kit includes plastic bulbs that are backed by a 2-year limited warranty, ensuring your investment shines bright for years to come.</t>
  </si>
  <si>
    <t>TP‑Link Deco XE75 Mesh WiFi 6E</t>
  </si>
  <si>
    <t>features: tri‑band AXE5400, 3‑pack covers 7 200 sq ft; battery: long‑lasting</t>
  </si>
  <si>
    <t>plastic</t>
  </si>
  <si>
    <t>With the TP-Link Deco XE75 Mesh WiFi 6E, enjoy seamless coverage in large homes or offices. This 3-pack setup delivers reliable, fast Wi-Fi to 7,200 sq ft, using tri-band AXE5400 technology. Long-lasting batteries minimize maintenance, while the durable plastic construction withstands everyday use. Protected by a 2-year limited warranty, it's a reliable choice for your smart home network.</t>
  </si>
  <si>
    <t>Eufy Video Doorbell Dual</t>
  </si>
  <si>
    <t>features: dual camera, package detection, 2K resolution; battery: long‑lasting</t>
  </si>
  <si>
    <t>"Protect your home with peace of mind using the Eufy Video Doorbell Dual. Its dual camera and 2K resolution provide clear video, while package detection alerts you to potential deliveries. The long-lasting battery ensures seamless video recording, day and night. Built with a durable plastic housing, this doorbell is designed to withstand the elements. Backed by a 1-year limited warranty, you can trust it to work right."</t>
  </si>
  <si>
    <t>Blink Outdoor 4</t>
  </si>
  <si>
    <t>features: 1080p HD, 2‑year battery, weather‑resistant; limited edition</t>
  </si>
  <si>
    <t>The Blink Outdoor 4 is a reliable choice for your home security needs. Boasting 1080p HD video and a 2-year battery life, this camera provides clear footage and minimizes maintenance. Its weather-resistant design means it can withstand outdoor conditions. This limited edition model is backed by a 1-year limited warranty for added peace of mind.</t>
  </si>
  <si>
    <t>Corsair K100 RGB Keyboard</t>
  </si>
  <si>
    <t>features: Cherry MX Speed, 4000 Hz polling, aluminum frame; capacity: large</t>
  </si>
  <si>
    <t>brushed aluminum</t>
  </si>
  <si>
    <t>2‑year warranty</t>
  </si>
  <si>
    <t>Elevate your gaming experience with the Corsair K100 RGB Keyboard. Its brushed aluminum frame provides a sturdy, premium feel, while Cherry MX Speed switches deliver fast and accurate actuation. With 4000 Hz polling, every keystroke is registered with precision. The large capacity means you can keep all your essential keys within easy reach. Enjoy seamless performance, backed by a comprehensive 2-year warranty.</t>
  </si>
  <si>
    <t>Logitech MX Master 3S</t>
  </si>
  <si>
    <t>features: 8K DPI sensor, MagSpeed scroll, Bolt &amp; Bluetooth; color options: multiple</t>
  </si>
  <si>
    <t>Elevate your productivity with the Logitech MX Master 3S, a versatile mouse designed for everyday use. Its 8K DPI sensor provides precise tracking, while the MagSpeed scroll wheel lets you fly through long documents with ease. Available in multiple color options, this mouse pairs seamlessly via Bolt or Bluetooth. Built from durable plastic, it's designed to withstand regular use. Backed by a 1-year limited warranty, you can trust this mouse to deliver reliable performance.</t>
  </si>
  <si>
    <t>Razer DeathAdder V3 Pro</t>
  </si>
  <si>
    <t>features: 63 g ultralight, 30K DPI Focus Pro sensor; battery: long‑lasting</t>
  </si>
  <si>
    <t>The Razer DeathAdder V3 Pro is designed for gamers seeking a precise and reliable mouse. Its 63g weight and 30K DPI Focus Pro sensor make swift and accurate navigation a breeze. Built with durable plastic, this mouse is built to last. Paired with long-lasting battery life, you can focus on your game without distractions. Enjoy peace of mind with its 2-year warranty.</t>
  </si>
  <si>
    <t>Samsung 980 Pro 2 TB NVMe SSD</t>
  </si>
  <si>
    <t>features: PCIe 4.0, up to 7 000 MB/s read, nickel coating; battery: long‑lasting</t>
  </si>
  <si>
    <t>PCB &amp; NAND flash</t>
  </si>
  <si>
    <t>5‑year limited warranty</t>
  </si>
  <si>
    <t>The Samsung 980 Pro 2 TB NVMe SSD is a high-performance storage solution for demanding users. With PCIe 4.0 and read speeds of up to 7,000 MB/s, it delivers lightning-fast data transfer. A nickel coating enhances durability, while long-lasting battery life ensures reliable performance. Built with a sturdy PCB and NAND flash, it withstands heavy use. Backed by a 5-year limited warranty, this SSD provides peace of mind for your data storage needs.</t>
  </si>
  <si>
    <t>Seagate Portable 5 TB HDD</t>
  </si>
  <si>
    <t>features: USB 3.0, plug‑and‑play, 2.5″ form factor; rating: 4.7/5</t>
  </si>
  <si>
    <t>Store and access your files with ease using the Seagate Portable 5 TB HDD. This compact, plug-and-play drive features a 2.5" form factor and USB 3.0 connectivity, allowing for fast and convenient data transfer. With a 4.7/5 rating, you can trust it to handle your storage needs. The durable plastic shell protects your data, and a 1-year limited warranty provides peace of mind.</t>
  </si>
  <si>
    <t>SanDisk Extreme PRO 128 GB SDXC</t>
  </si>
  <si>
    <t>features: UHS‑I U3, 200 MB/s read, waterproof; battery: long‑lasting</t>
  </si>
  <si>
    <t>lifetime limited warranty</t>
  </si>
  <si>
    <t>Built for performance and reliability, the SanDisk Extreme PRO 128 GB SDXC combines UHS-I U3 speed with waterproof protection. Enjoy seamless data transfer at 200 MB/s read and store your memories securely. With a long-lasting battery, you can capture more moments without interruption. Backed by a lifetime limited warranty, this card is a trusted companion for your adventures.</t>
  </si>
  <si>
    <t>Kingston Fury Beast 32 GB DDR5</t>
  </si>
  <si>
    <t>features: 6000 MT/s, Intel XMP 3.0, low‑profile heat spreader; energy efficient</t>
  </si>
  <si>
    <t>aluminum heatspreader</t>
  </si>
  <si>
    <t>"Experience the pinnacle of performance with the Kingston Fury Beast 32 GB DDR5 RAM. Built with an aluminum heat spreader for efficient cooling, it delivers speeds of 6000 MT/s, making it perfect for demanding tasks like gaming and video editing. Backed by a lifetime warranty, you can trust the Fury Beast to perform flawlessly for years to come, with Intel XMP 3.0 support for effortless overclocking."</t>
  </si>
  <si>
    <t>Acer Predator XB273U 27″ Monitor</t>
  </si>
  <si>
    <t>features: 2560×1440 170 Hz IPS, HDR400, G‑Sync Compatible; capacity: large</t>
  </si>
  <si>
    <t>plastic &amp; metal stand</t>
  </si>
  <si>
    <t>3‑year warranty</t>
  </si>
  <si>
    <t>Upgrade your gaming experience with the Acer Predator XB273U 27" Monitor. Its large screen showcases vibrant visuals on a 2560x1440 170Hz IPS panel, with HDR400 and G-Sync Compatible technology for seamless performance. The sturdy plastic and metal stand ensures stability, while a 3-year warranty provides peace of mind for long gaming sessions. Ideal for immersive gaming and productivity.</t>
  </si>
  <si>
    <t>BenQ PD2725U 27″ Monitor</t>
  </si>
  <si>
    <t>features: 4K UHD IPS, 98% P3, Thunderbolt 3; color options: multiple</t>
  </si>
  <si>
    <t>metal stand</t>
  </si>
  <si>
    <t>Elevate your workspace with the BenQ PD2725U 27" Monitor. Its 4K UHD IPS panel and 98% P3 color gamut deliver stunning visuals, while Thunderbolt 3 ensures seamless connectivity. The metal stand provides a sturdy base, and with multiple color options available, you can choose a finish that suits your style. Backed by a 3-year warranty, this monitor is a reliable choice for professionals and creatives alike.</t>
  </si>
  <si>
    <t>ASUS ProArt PA278QV Monitor</t>
  </si>
  <si>
    <t>features: 27″ 2560×1440 IPS, 100% sRGB, Calman Verified; weight: light</t>
  </si>
  <si>
    <t>The ASUS ProArt PA278QV Monitor is a reliable choice for creatives, offering a 27" 2560x1440 IPS display with 100% sRGB color accuracy, verified by Calman. Its light weight and sturdy metal stand make it easy to position in any workspace. With a 3-year warranty, you can trust it to deliver consistent performance for years to come. Perfect for graphic designers, photographers, and videographers who demand precision and reliability.</t>
  </si>
  <si>
    <t>Out</t>
  </si>
  <si>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</sst>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 x14ac:knownFonts="1">
    <font>
      <sz val="11"/>
      <color theme="1"/>
      <name val="Calibri"/>
      <family val="2"/>
      <scheme val="minor"/>
    </font>
    <font>
      <sz val="13"/>
      <color theme="1"/>
      <name val="Helvetica Neue"/>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1" fillId="2" borderId="0" xfId="0" applyFont="1" applyFill="1"/>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1"/>
  <sheetViews>
    <sheetView tabSelected="1" topLeftCell="D1" workbookViewId="0">
      <selection activeCell="P11" sqref="P11"/>
    </sheetView>
  </sheetViews>
  <sheetFormatPr baseColWidth="10" defaultColWidth="8.83203125" defaultRowHeight="15" x14ac:dyDescent="0.2"/>
  <cols>
    <col min="1" max="1" width="37.5" bestFit="1" customWidth="1"/>
    <col min="2" max="2" width="71.6640625" bestFit="1" customWidth="1"/>
    <col min="3" max="3" width="34.83203125" bestFit="1" customWidth="1"/>
    <col min="4" max="4" width="17.1640625" customWidth="1"/>
    <col min="5" max="5" width="21.33203125" customWidth="1"/>
    <col min="6" max="6" width="9.6640625" bestFit="1" customWidth="1"/>
    <col min="7" max="7" width="11.1640625" bestFit="1" customWidth="1"/>
    <col min="8" max="8" width="12.33203125" bestFit="1" customWidth="1"/>
    <col min="9" max="9" width="6.6640625" bestFit="1" customWidth="1"/>
    <col min="10" max="10" width="8" bestFit="1" customWidth="1"/>
    <col min="11" max="11" width="5" bestFit="1" customWidth="1"/>
    <col min="12" max="12" width="6" bestFit="1" customWidth="1"/>
    <col min="13" max="13" width="9" bestFit="1" customWidth="1"/>
    <col min="14" max="14" width="12" bestFit="1" customWidth="1"/>
    <col min="15" max="15" width="9.6640625" bestFit="1" customWidth="1"/>
    <col min="16" max="16" width="11.1640625" bestFit="1" customWidth="1"/>
    <col min="17" max="17" width="9.33203125" bestFit="1" customWidth="1"/>
  </cols>
  <sheetData>
    <row r="1" spans="1:22" ht="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S1" s="1" t="s">
        <v>227</v>
      </c>
      <c r="T1" s="2">
        <v>0.03</v>
      </c>
      <c r="U1" s="1" t="s">
        <v>226</v>
      </c>
      <c r="V1" s="2">
        <v>0.09</v>
      </c>
    </row>
    <row r="2" spans="1:22" x14ac:dyDescent="0.2">
      <c r="A2" t="s">
        <v>17</v>
      </c>
      <c r="B2" t="s">
        <v>18</v>
      </c>
      <c r="C2" t="s">
        <v>19</v>
      </c>
      <c r="D2" t="s">
        <v>20</v>
      </c>
      <c r="E2" t="s">
        <v>21</v>
      </c>
      <c r="F2">
        <v>864.7</v>
      </c>
      <c r="G2">
        <v>359</v>
      </c>
      <c r="H2">
        <v>89</v>
      </c>
      <c r="I2" t="s">
        <v>22</v>
      </c>
      <c r="J2" t="s">
        <v>22</v>
      </c>
      <c r="K2" t="s">
        <v>22</v>
      </c>
      <c r="L2" t="s">
        <v>22</v>
      </c>
      <c r="M2" t="s">
        <v>22</v>
      </c>
      <c r="N2" t="s">
        <v>22</v>
      </c>
      <c r="O2" t="s">
        <v>22</v>
      </c>
      <c r="P2" s="3">
        <f>(G2*$T$1/1000000)+(H2*$V$1/1000000)</f>
        <v>1.878E-5</v>
      </c>
      <c r="Q2" t="s">
        <v>23</v>
      </c>
    </row>
    <row r="3" spans="1:22" x14ac:dyDescent="0.2">
      <c r="A3" t="s">
        <v>24</v>
      </c>
      <c r="B3" t="s">
        <v>25</v>
      </c>
      <c r="C3" t="s">
        <v>26</v>
      </c>
      <c r="D3" t="s">
        <v>20</v>
      </c>
      <c r="E3" t="s">
        <v>27</v>
      </c>
      <c r="F3">
        <v>1008</v>
      </c>
      <c r="G3">
        <v>362</v>
      </c>
      <c r="H3">
        <v>85</v>
      </c>
      <c r="I3" t="s">
        <v>22</v>
      </c>
      <c r="J3" t="s">
        <v>22</v>
      </c>
      <c r="K3" t="s">
        <v>22</v>
      </c>
      <c r="L3" t="s">
        <v>22</v>
      </c>
      <c r="M3" t="s">
        <v>22</v>
      </c>
      <c r="N3" t="s">
        <v>22</v>
      </c>
      <c r="O3" t="s">
        <v>22</v>
      </c>
      <c r="P3" s="3">
        <f>(G3*$T$1/1000000)+(H3*$V$1/1000000)</f>
        <v>1.8509999999999997E-5</v>
      </c>
      <c r="Q3" t="s">
        <v>23</v>
      </c>
    </row>
    <row r="4" spans="1:22" x14ac:dyDescent="0.2">
      <c r="A4" t="s">
        <v>28</v>
      </c>
      <c r="B4" t="s">
        <v>29</v>
      </c>
      <c r="C4" t="s">
        <v>30</v>
      </c>
      <c r="D4" t="s">
        <v>20</v>
      </c>
      <c r="E4" t="s">
        <v>31</v>
      </c>
      <c r="F4">
        <v>942.9</v>
      </c>
      <c r="G4">
        <v>360</v>
      </c>
      <c r="H4">
        <v>98</v>
      </c>
      <c r="I4" t="s">
        <v>32</v>
      </c>
      <c r="J4" t="s">
        <v>22</v>
      </c>
      <c r="K4" t="s">
        <v>32</v>
      </c>
      <c r="L4" t="s">
        <v>22</v>
      </c>
      <c r="M4" t="s">
        <v>32</v>
      </c>
      <c r="N4" t="s">
        <v>22</v>
      </c>
      <c r="O4" t="s">
        <v>22</v>
      </c>
      <c r="P4" s="3">
        <f>(G4*$T$1/1000000)+(H4*$V$1/1000000)</f>
        <v>1.9619999999999998E-5</v>
      </c>
      <c r="Q4" t="s">
        <v>33</v>
      </c>
    </row>
    <row r="5" spans="1:22" x14ac:dyDescent="0.2">
      <c r="A5" t="s">
        <v>34</v>
      </c>
      <c r="B5" t="s">
        <v>35</v>
      </c>
      <c r="C5" t="s">
        <v>36</v>
      </c>
      <c r="D5" t="s">
        <v>20</v>
      </c>
      <c r="E5" t="s">
        <v>37</v>
      </c>
      <c r="F5">
        <v>1005.7</v>
      </c>
      <c r="G5">
        <v>359</v>
      </c>
      <c r="H5">
        <v>88</v>
      </c>
      <c r="I5" t="s">
        <v>22</v>
      </c>
      <c r="J5" t="s">
        <v>22</v>
      </c>
      <c r="K5" t="s">
        <v>22</v>
      </c>
      <c r="L5" t="s">
        <v>22</v>
      </c>
      <c r="M5" t="s">
        <v>22</v>
      </c>
      <c r="N5" t="s">
        <v>22</v>
      </c>
      <c r="O5" t="s">
        <v>22</v>
      </c>
      <c r="P5" s="3">
        <f t="shared" ref="P5:P51" si="0">(G5*$T$1/1000000)+(H5*$V$1/1000000)</f>
        <v>1.8689999999999999E-5</v>
      </c>
      <c r="Q5" t="s">
        <v>23</v>
      </c>
    </row>
    <row r="6" spans="1:22" x14ac:dyDescent="0.2">
      <c r="A6" t="s">
        <v>38</v>
      </c>
      <c r="B6" t="s">
        <v>39</v>
      </c>
      <c r="C6" t="s">
        <v>40</v>
      </c>
      <c r="D6" t="s">
        <v>20</v>
      </c>
      <c r="E6" t="s">
        <v>41</v>
      </c>
      <c r="F6">
        <v>1519.7</v>
      </c>
      <c r="G6">
        <v>353</v>
      </c>
      <c r="H6">
        <v>74</v>
      </c>
      <c r="N6" t="s">
        <v>22</v>
      </c>
      <c r="O6" t="s">
        <v>22</v>
      </c>
      <c r="P6" s="3">
        <f t="shared" si="0"/>
        <v>1.7249999999999999E-5</v>
      </c>
    </row>
    <row r="7" spans="1:22" x14ac:dyDescent="0.2">
      <c r="A7" t="s">
        <v>42</v>
      </c>
      <c r="B7" t="s">
        <v>43</v>
      </c>
      <c r="C7" t="s">
        <v>44</v>
      </c>
      <c r="D7" t="s">
        <v>20</v>
      </c>
      <c r="E7" t="s">
        <v>45</v>
      </c>
      <c r="F7">
        <v>941.2</v>
      </c>
      <c r="G7">
        <v>349</v>
      </c>
      <c r="H7">
        <v>93</v>
      </c>
      <c r="I7" t="s">
        <v>22</v>
      </c>
      <c r="J7" t="s">
        <v>22</v>
      </c>
      <c r="K7" t="s">
        <v>22</v>
      </c>
      <c r="L7" t="s">
        <v>22</v>
      </c>
      <c r="M7" t="s">
        <v>22</v>
      </c>
      <c r="N7" t="s">
        <v>22</v>
      </c>
      <c r="O7" t="s">
        <v>22</v>
      </c>
      <c r="P7" s="3">
        <f t="shared" si="0"/>
        <v>1.8839999999999999E-5</v>
      </c>
      <c r="Q7" t="s">
        <v>23</v>
      </c>
    </row>
    <row r="8" spans="1:22" x14ac:dyDescent="0.2">
      <c r="A8" t="s">
        <v>46</v>
      </c>
      <c r="B8" t="s">
        <v>47</v>
      </c>
      <c r="C8" t="s">
        <v>48</v>
      </c>
      <c r="D8" t="s">
        <v>49</v>
      </c>
      <c r="E8" t="s">
        <v>50</v>
      </c>
      <c r="F8">
        <v>898.4</v>
      </c>
      <c r="G8">
        <v>367</v>
      </c>
      <c r="H8">
        <v>88</v>
      </c>
      <c r="N8" t="s">
        <v>22</v>
      </c>
      <c r="O8" t="s">
        <v>22</v>
      </c>
      <c r="P8" s="3">
        <f t="shared" si="0"/>
        <v>1.893E-5</v>
      </c>
    </row>
    <row r="9" spans="1:22" x14ac:dyDescent="0.2">
      <c r="A9" t="s">
        <v>51</v>
      </c>
      <c r="B9" t="s">
        <v>52</v>
      </c>
      <c r="C9" t="s">
        <v>53</v>
      </c>
      <c r="D9" t="s">
        <v>20</v>
      </c>
      <c r="E9" t="s">
        <v>54</v>
      </c>
      <c r="F9">
        <v>981.6</v>
      </c>
      <c r="G9">
        <v>358</v>
      </c>
      <c r="H9">
        <v>94</v>
      </c>
      <c r="N9" t="s">
        <v>22</v>
      </c>
      <c r="O9" t="s">
        <v>22</v>
      </c>
      <c r="P9" s="3">
        <f t="shared" si="0"/>
        <v>1.9199999999999999E-5</v>
      </c>
    </row>
    <row r="10" spans="1:22" x14ac:dyDescent="0.2">
      <c r="A10" t="s">
        <v>55</v>
      </c>
      <c r="B10" t="s">
        <v>56</v>
      </c>
      <c r="C10" t="s">
        <v>57</v>
      </c>
      <c r="D10" t="s">
        <v>20</v>
      </c>
      <c r="E10" t="s">
        <v>58</v>
      </c>
      <c r="F10">
        <v>882.5</v>
      </c>
      <c r="G10">
        <v>351</v>
      </c>
      <c r="H10">
        <v>90</v>
      </c>
      <c r="I10" t="s">
        <v>32</v>
      </c>
      <c r="J10" t="s">
        <v>22</v>
      </c>
      <c r="K10" t="s">
        <v>32</v>
      </c>
      <c r="L10" t="s">
        <v>22</v>
      </c>
      <c r="M10" t="s">
        <v>32</v>
      </c>
      <c r="N10" t="s">
        <v>22</v>
      </c>
      <c r="O10" t="s">
        <v>22</v>
      </c>
      <c r="P10" s="3">
        <f t="shared" si="0"/>
        <v>1.863E-5</v>
      </c>
      <c r="Q10" t="s">
        <v>33</v>
      </c>
    </row>
    <row r="11" spans="1:22" x14ac:dyDescent="0.2">
      <c r="A11" t="s">
        <v>59</v>
      </c>
      <c r="B11" t="s">
        <v>60</v>
      </c>
      <c r="C11" t="s">
        <v>61</v>
      </c>
      <c r="D11" t="s">
        <v>20</v>
      </c>
      <c r="E11" t="s">
        <v>62</v>
      </c>
      <c r="F11">
        <v>1838.9</v>
      </c>
      <c r="G11">
        <v>361</v>
      </c>
      <c r="H11">
        <v>86</v>
      </c>
      <c r="N11" t="s">
        <v>22</v>
      </c>
      <c r="O11" t="s">
        <v>22</v>
      </c>
      <c r="P11" s="3">
        <f t="shared" si="0"/>
        <v>1.857E-5</v>
      </c>
    </row>
    <row r="12" spans="1:22" x14ac:dyDescent="0.2">
      <c r="A12" t="s">
        <v>63</v>
      </c>
      <c r="B12" t="s">
        <v>64</v>
      </c>
      <c r="C12" t="s">
        <v>65</v>
      </c>
      <c r="D12" t="s">
        <v>20</v>
      </c>
      <c r="E12" t="s">
        <v>66</v>
      </c>
      <c r="F12">
        <v>1026</v>
      </c>
      <c r="G12">
        <v>353</v>
      </c>
      <c r="H12">
        <v>97</v>
      </c>
      <c r="N12" t="s">
        <v>22</v>
      </c>
      <c r="O12" t="s">
        <v>22</v>
      </c>
      <c r="P12" s="3">
        <f t="shared" si="0"/>
        <v>1.9320000000000001E-5</v>
      </c>
    </row>
    <row r="13" spans="1:22" x14ac:dyDescent="0.2">
      <c r="A13" t="s">
        <v>67</v>
      </c>
      <c r="B13" t="s">
        <v>68</v>
      </c>
      <c r="C13" t="s">
        <v>69</v>
      </c>
      <c r="D13" t="s">
        <v>20</v>
      </c>
      <c r="E13" t="s">
        <v>70</v>
      </c>
      <c r="F13">
        <v>820.8</v>
      </c>
      <c r="G13">
        <v>359</v>
      </c>
      <c r="H13">
        <v>84</v>
      </c>
      <c r="I13" t="s">
        <v>22</v>
      </c>
      <c r="J13" t="s">
        <v>22</v>
      </c>
      <c r="K13" t="s">
        <v>22</v>
      </c>
      <c r="L13" t="s">
        <v>22</v>
      </c>
      <c r="M13" t="s">
        <v>22</v>
      </c>
      <c r="N13" t="s">
        <v>22</v>
      </c>
      <c r="O13" t="s">
        <v>22</v>
      </c>
      <c r="P13" s="3">
        <f t="shared" si="0"/>
        <v>1.8329999999999999E-5</v>
      </c>
      <c r="Q13" t="s">
        <v>23</v>
      </c>
    </row>
    <row r="14" spans="1:22" x14ac:dyDescent="0.2">
      <c r="A14" t="s">
        <v>71</v>
      </c>
      <c r="B14" t="s">
        <v>72</v>
      </c>
      <c r="C14" t="s">
        <v>73</v>
      </c>
      <c r="D14" t="s">
        <v>20</v>
      </c>
      <c r="E14" t="s">
        <v>74</v>
      </c>
      <c r="F14">
        <v>1152.2</v>
      </c>
      <c r="G14">
        <v>361</v>
      </c>
      <c r="H14">
        <v>87</v>
      </c>
      <c r="N14" t="s">
        <v>22</v>
      </c>
      <c r="O14" t="s">
        <v>22</v>
      </c>
      <c r="P14" s="3">
        <f t="shared" si="0"/>
        <v>1.8660000000000001E-5</v>
      </c>
    </row>
    <row r="15" spans="1:22" x14ac:dyDescent="0.2">
      <c r="A15" t="s">
        <v>75</v>
      </c>
      <c r="B15" t="s">
        <v>76</v>
      </c>
      <c r="C15" t="s">
        <v>77</v>
      </c>
      <c r="D15" t="s">
        <v>20</v>
      </c>
      <c r="E15" t="s">
        <v>78</v>
      </c>
      <c r="F15">
        <v>783.6</v>
      </c>
      <c r="G15">
        <v>352</v>
      </c>
      <c r="H15">
        <v>76</v>
      </c>
      <c r="N15" t="s">
        <v>22</v>
      </c>
      <c r="O15" t="s">
        <v>22</v>
      </c>
      <c r="P15" s="3">
        <f t="shared" si="0"/>
        <v>1.7399999999999999E-5</v>
      </c>
    </row>
    <row r="16" spans="1:22" x14ac:dyDescent="0.2">
      <c r="A16" t="s">
        <v>79</v>
      </c>
      <c r="B16" t="s">
        <v>80</v>
      </c>
      <c r="C16" t="s">
        <v>81</v>
      </c>
      <c r="D16" t="s">
        <v>20</v>
      </c>
      <c r="E16" t="s">
        <v>82</v>
      </c>
      <c r="F16">
        <v>1028.2</v>
      </c>
      <c r="G16">
        <v>351</v>
      </c>
      <c r="H16">
        <v>85</v>
      </c>
      <c r="N16" t="s">
        <v>22</v>
      </c>
      <c r="O16" t="s">
        <v>22</v>
      </c>
      <c r="P16" s="3">
        <f t="shared" si="0"/>
        <v>1.8179999999999999E-5</v>
      </c>
    </row>
    <row r="17" spans="1:17" x14ac:dyDescent="0.2">
      <c r="A17" t="s">
        <v>83</v>
      </c>
      <c r="B17" t="s">
        <v>84</v>
      </c>
      <c r="C17" t="s">
        <v>85</v>
      </c>
      <c r="D17" t="s">
        <v>20</v>
      </c>
      <c r="E17" t="s">
        <v>86</v>
      </c>
      <c r="F17">
        <v>744.1</v>
      </c>
      <c r="G17">
        <v>360</v>
      </c>
      <c r="H17">
        <v>72</v>
      </c>
      <c r="N17" t="s">
        <v>22</v>
      </c>
      <c r="O17" t="s">
        <v>22</v>
      </c>
      <c r="P17" s="3">
        <f t="shared" si="0"/>
        <v>1.7279999999999997E-5</v>
      </c>
    </row>
    <row r="18" spans="1:17" x14ac:dyDescent="0.2">
      <c r="A18" t="s">
        <v>87</v>
      </c>
      <c r="B18" t="s">
        <v>88</v>
      </c>
      <c r="C18" t="s">
        <v>89</v>
      </c>
      <c r="D18" t="s">
        <v>20</v>
      </c>
      <c r="E18" t="s">
        <v>90</v>
      </c>
      <c r="F18">
        <v>925.4</v>
      </c>
      <c r="G18">
        <v>365</v>
      </c>
      <c r="H18">
        <v>94</v>
      </c>
      <c r="I18" t="s">
        <v>22</v>
      </c>
      <c r="J18" t="s">
        <v>22</v>
      </c>
      <c r="K18" t="s">
        <v>22</v>
      </c>
      <c r="L18" t="s">
        <v>22</v>
      </c>
      <c r="M18" t="s">
        <v>22</v>
      </c>
      <c r="N18" t="s">
        <v>22</v>
      </c>
      <c r="O18" t="s">
        <v>22</v>
      </c>
      <c r="P18" s="3">
        <f t="shared" si="0"/>
        <v>1.9409999999999999E-5</v>
      </c>
      <c r="Q18" t="s">
        <v>23</v>
      </c>
    </row>
    <row r="19" spans="1:17" x14ac:dyDescent="0.2">
      <c r="A19" t="s">
        <v>91</v>
      </c>
      <c r="B19" t="s">
        <v>92</v>
      </c>
      <c r="C19" t="s">
        <v>93</v>
      </c>
      <c r="D19" t="s">
        <v>20</v>
      </c>
      <c r="E19" t="s">
        <v>94</v>
      </c>
      <c r="F19">
        <v>845.4</v>
      </c>
      <c r="G19">
        <v>355</v>
      </c>
      <c r="H19">
        <v>86</v>
      </c>
      <c r="N19" t="s">
        <v>22</v>
      </c>
      <c r="O19" t="s">
        <v>22</v>
      </c>
      <c r="P19" s="3">
        <f t="shared" si="0"/>
        <v>1.8389999999999998E-5</v>
      </c>
    </row>
    <row r="20" spans="1:17" x14ac:dyDescent="0.2">
      <c r="A20" t="s">
        <v>95</v>
      </c>
      <c r="B20" t="s">
        <v>96</v>
      </c>
      <c r="C20" t="s">
        <v>97</v>
      </c>
      <c r="D20" t="s">
        <v>98</v>
      </c>
      <c r="E20" t="s">
        <v>99</v>
      </c>
      <c r="F20">
        <v>1378.1</v>
      </c>
      <c r="G20">
        <v>356</v>
      </c>
      <c r="H20">
        <v>86</v>
      </c>
      <c r="N20" t="s">
        <v>22</v>
      </c>
      <c r="O20" t="s">
        <v>22</v>
      </c>
      <c r="P20" s="3">
        <f t="shared" si="0"/>
        <v>1.8419999999999996E-5</v>
      </c>
    </row>
    <row r="21" spans="1:17" x14ac:dyDescent="0.2">
      <c r="A21" t="s">
        <v>100</v>
      </c>
      <c r="B21" t="s">
        <v>101</v>
      </c>
      <c r="C21" t="s">
        <v>102</v>
      </c>
      <c r="D21" t="s">
        <v>103</v>
      </c>
      <c r="E21" t="s">
        <v>104</v>
      </c>
      <c r="F21">
        <v>979.1</v>
      </c>
      <c r="G21">
        <v>356</v>
      </c>
      <c r="H21">
        <v>95</v>
      </c>
      <c r="I21" t="s">
        <v>22</v>
      </c>
      <c r="J21" t="s">
        <v>22</v>
      </c>
      <c r="K21" t="s">
        <v>32</v>
      </c>
      <c r="L21" t="s">
        <v>22</v>
      </c>
      <c r="M21" t="s">
        <v>22</v>
      </c>
      <c r="N21" t="s">
        <v>22</v>
      </c>
      <c r="O21" t="s">
        <v>22</v>
      </c>
      <c r="P21" s="3">
        <f t="shared" si="0"/>
        <v>1.9229999999999997E-5</v>
      </c>
      <c r="Q21" t="s">
        <v>23</v>
      </c>
    </row>
    <row r="22" spans="1:17" x14ac:dyDescent="0.2">
      <c r="A22" t="s">
        <v>105</v>
      </c>
      <c r="B22" t="s">
        <v>106</v>
      </c>
      <c r="C22" t="s">
        <v>107</v>
      </c>
      <c r="D22" t="s">
        <v>20</v>
      </c>
      <c r="E22" t="s">
        <v>108</v>
      </c>
      <c r="F22">
        <v>957</v>
      </c>
      <c r="G22">
        <v>352</v>
      </c>
      <c r="H22">
        <v>85</v>
      </c>
      <c r="N22" t="s">
        <v>22</v>
      </c>
      <c r="O22" t="s">
        <v>22</v>
      </c>
      <c r="P22" s="3">
        <f t="shared" si="0"/>
        <v>1.8209999999999997E-5</v>
      </c>
    </row>
    <row r="23" spans="1:17" x14ac:dyDescent="0.2">
      <c r="A23" t="s">
        <v>109</v>
      </c>
      <c r="B23" t="s">
        <v>110</v>
      </c>
      <c r="C23" t="s">
        <v>111</v>
      </c>
      <c r="D23" t="s">
        <v>112</v>
      </c>
      <c r="E23" t="s">
        <v>113</v>
      </c>
      <c r="F23">
        <v>1006.7</v>
      </c>
      <c r="G23">
        <v>355</v>
      </c>
      <c r="H23">
        <v>90</v>
      </c>
      <c r="I23" t="s">
        <v>22</v>
      </c>
      <c r="J23" t="s">
        <v>22</v>
      </c>
      <c r="K23" t="s">
        <v>22</v>
      </c>
      <c r="L23" t="s">
        <v>22</v>
      </c>
      <c r="M23" t="s">
        <v>22</v>
      </c>
      <c r="N23" t="s">
        <v>22</v>
      </c>
      <c r="O23" t="s">
        <v>22</v>
      </c>
      <c r="P23" s="3">
        <f t="shared" si="0"/>
        <v>1.8750000000000002E-5</v>
      </c>
      <c r="Q23" t="s">
        <v>23</v>
      </c>
    </row>
    <row r="24" spans="1:17" x14ac:dyDescent="0.2">
      <c r="A24" t="s">
        <v>114</v>
      </c>
      <c r="B24" t="s">
        <v>115</v>
      </c>
      <c r="C24" t="s">
        <v>116</v>
      </c>
      <c r="D24" t="s">
        <v>117</v>
      </c>
      <c r="E24" t="s">
        <v>118</v>
      </c>
      <c r="F24">
        <v>1024.3</v>
      </c>
      <c r="G24">
        <v>355</v>
      </c>
      <c r="H24">
        <v>83</v>
      </c>
      <c r="N24" t="s">
        <v>22</v>
      </c>
      <c r="O24" t="s">
        <v>22</v>
      </c>
      <c r="P24" s="3">
        <f t="shared" si="0"/>
        <v>1.8119999999999999E-5</v>
      </c>
    </row>
    <row r="25" spans="1:17" x14ac:dyDescent="0.2">
      <c r="A25" t="s">
        <v>119</v>
      </c>
      <c r="B25" t="s">
        <v>120</v>
      </c>
      <c r="C25" t="s">
        <v>121</v>
      </c>
      <c r="D25" t="s">
        <v>117</v>
      </c>
      <c r="E25" t="s">
        <v>122</v>
      </c>
      <c r="F25">
        <v>1571.2</v>
      </c>
      <c r="G25">
        <v>347</v>
      </c>
      <c r="H25">
        <v>69</v>
      </c>
      <c r="N25" t="s">
        <v>22</v>
      </c>
      <c r="O25" t="s">
        <v>22</v>
      </c>
      <c r="P25" s="3">
        <f t="shared" si="0"/>
        <v>1.662E-5</v>
      </c>
    </row>
    <row r="26" spans="1:17" x14ac:dyDescent="0.2">
      <c r="A26" t="s">
        <v>123</v>
      </c>
      <c r="B26" t="s">
        <v>124</v>
      </c>
      <c r="C26" t="s">
        <v>125</v>
      </c>
      <c r="D26" t="s">
        <v>117</v>
      </c>
      <c r="E26" t="s">
        <v>126</v>
      </c>
      <c r="F26">
        <v>793.6</v>
      </c>
      <c r="G26">
        <v>351</v>
      </c>
      <c r="H26">
        <v>66</v>
      </c>
      <c r="N26" t="s">
        <v>22</v>
      </c>
      <c r="O26" t="s">
        <v>22</v>
      </c>
      <c r="P26" s="3">
        <f t="shared" si="0"/>
        <v>1.647E-5</v>
      </c>
    </row>
    <row r="27" spans="1:17" x14ac:dyDescent="0.2">
      <c r="A27" t="s">
        <v>127</v>
      </c>
      <c r="B27" t="s">
        <v>128</v>
      </c>
      <c r="C27" t="s">
        <v>129</v>
      </c>
      <c r="D27" t="s">
        <v>130</v>
      </c>
      <c r="E27" t="s">
        <v>131</v>
      </c>
      <c r="F27">
        <v>993.5</v>
      </c>
      <c r="G27">
        <v>349</v>
      </c>
      <c r="H27">
        <v>82</v>
      </c>
      <c r="N27" t="s">
        <v>22</v>
      </c>
      <c r="O27" t="s">
        <v>22</v>
      </c>
      <c r="P27" s="3">
        <f t="shared" si="0"/>
        <v>1.785E-5</v>
      </c>
    </row>
    <row r="28" spans="1:17" x14ac:dyDescent="0.2">
      <c r="A28" t="s">
        <v>132</v>
      </c>
      <c r="B28" t="s">
        <v>133</v>
      </c>
      <c r="C28" t="s">
        <v>129</v>
      </c>
      <c r="D28" t="s">
        <v>130</v>
      </c>
      <c r="E28" t="s">
        <v>134</v>
      </c>
      <c r="F28">
        <v>889.4</v>
      </c>
      <c r="G28">
        <v>356</v>
      </c>
      <c r="H28">
        <v>91</v>
      </c>
      <c r="N28" t="s">
        <v>22</v>
      </c>
      <c r="O28" t="s">
        <v>22</v>
      </c>
      <c r="P28" s="3">
        <f t="shared" si="0"/>
        <v>1.8870000000000001E-5</v>
      </c>
    </row>
    <row r="29" spans="1:17" x14ac:dyDescent="0.2">
      <c r="A29" t="s">
        <v>135</v>
      </c>
      <c r="B29" t="s">
        <v>136</v>
      </c>
      <c r="C29" t="s">
        <v>137</v>
      </c>
      <c r="D29" t="s">
        <v>117</v>
      </c>
      <c r="E29" t="s">
        <v>138</v>
      </c>
      <c r="F29">
        <v>882</v>
      </c>
      <c r="G29">
        <v>348</v>
      </c>
      <c r="H29">
        <v>85</v>
      </c>
      <c r="I29" t="s">
        <v>22</v>
      </c>
      <c r="J29" t="s">
        <v>22</v>
      </c>
      <c r="K29" t="s">
        <v>22</v>
      </c>
      <c r="L29" t="s">
        <v>22</v>
      </c>
      <c r="M29" t="s">
        <v>22</v>
      </c>
      <c r="N29" t="s">
        <v>22</v>
      </c>
      <c r="O29" t="s">
        <v>22</v>
      </c>
      <c r="P29" s="3">
        <f t="shared" si="0"/>
        <v>1.8089999999999998E-5</v>
      </c>
      <c r="Q29" t="s">
        <v>23</v>
      </c>
    </row>
    <row r="30" spans="1:17" x14ac:dyDescent="0.2">
      <c r="A30" t="s">
        <v>139</v>
      </c>
      <c r="B30" t="s">
        <v>140</v>
      </c>
      <c r="C30" t="s">
        <v>141</v>
      </c>
      <c r="D30" t="s">
        <v>117</v>
      </c>
      <c r="E30" t="s">
        <v>142</v>
      </c>
      <c r="F30">
        <v>803.6</v>
      </c>
      <c r="G30">
        <v>353</v>
      </c>
      <c r="H30">
        <v>79</v>
      </c>
      <c r="N30" t="s">
        <v>22</v>
      </c>
      <c r="O30" t="s">
        <v>22</v>
      </c>
      <c r="P30" s="3">
        <f t="shared" si="0"/>
        <v>1.77E-5</v>
      </c>
    </row>
    <row r="31" spans="1:17" x14ac:dyDescent="0.2">
      <c r="A31" t="s">
        <v>143</v>
      </c>
      <c r="B31" t="s">
        <v>144</v>
      </c>
      <c r="C31" t="s">
        <v>145</v>
      </c>
      <c r="D31" t="s">
        <v>117</v>
      </c>
      <c r="E31" t="s">
        <v>146</v>
      </c>
      <c r="F31">
        <v>889.6</v>
      </c>
      <c r="G31">
        <v>349</v>
      </c>
      <c r="H31">
        <v>87</v>
      </c>
      <c r="N31" t="s">
        <v>22</v>
      </c>
      <c r="O31" t="s">
        <v>22</v>
      </c>
      <c r="P31" s="3">
        <f>(G31*$T$1/1000000)+(H31*$V$1/1000000)</f>
        <v>1.8299999999999998E-5</v>
      </c>
    </row>
    <row r="32" spans="1:17" x14ac:dyDescent="0.2">
      <c r="A32" t="s">
        <v>147</v>
      </c>
      <c r="B32" t="s">
        <v>148</v>
      </c>
      <c r="C32" t="s">
        <v>149</v>
      </c>
      <c r="D32" t="s">
        <v>150</v>
      </c>
      <c r="E32" t="s">
        <v>151</v>
      </c>
      <c r="F32">
        <v>1036.5</v>
      </c>
      <c r="G32">
        <v>355</v>
      </c>
      <c r="H32">
        <v>101</v>
      </c>
      <c r="I32" t="s">
        <v>32</v>
      </c>
      <c r="J32" t="s">
        <v>22</v>
      </c>
      <c r="K32" t="s">
        <v>32</v>
      </c>
      <c r="L32" t="s">
        <v>22</v>
      </c>
      <c r="M32" t="s">
        <v>152</v>
      </c>
      <c r="N32" t="s">
        <v>22</v>
      </c>
      <c r="O32" t="s">
        <v>22</v>
      </c>
      <c r="P32" s="3">
        <f t="shared" si="0"/>
        <v>1.9739999999999997E-5</v>
      </c>
      <c r="Q32" t="s">
        <v>33</v>
      </c>
    </row>
    <row r="33" spans="1:17" x14ac:dyDescent="0.2">
      <c r="A33" t="s">
        <v>153</v>
      </c>
      <c r="B33" t="s">
        <v>154</v>
      </c>
      <c r="C33" t="s">
        <v>149</v>
      </c>
      <c r="D33" t="s">
        <v>150</v>
      </c>
      <c r="E33" t="s">
        <v>155</v>
      </c>
      <c r="F33">
        <v>2647.7</v>
      </c>
      <c r="G33">
        <v>351</v>
      </c>
      <c r="H33">
        <v>76</v>
      </c>
      <c r="N33" t="s">
        <v>22</v>
      </c>
      <c r="O33" t="s">
        <v>22</v>
      </c>
      <c r="P33" s="3">
        <f t="shared" si="0"/>
        <v>1.7369999999999998E-5</v>
      </c>
    </row>
    <row r="34" spans="1:17" x14ac:dyDescent="0.2">
      <c r="A34" t="s">
        <v>156</v>
      </c>
      <c r="B34" t="s">
        <v>157</v>
      </c>
      <c r="C34" t="s">
        <v>158</v>
      </c>
      <c r="D34" t="s">
        <v>20</v>
      </c>
      <c r="E34" t="s">
        <v>159</v>
      </c>
      <c r="F34">
        <v>2113.9</v>
      </c>
      <c r="G34">
        <v>358</v>
      </c>
      <c r="H34">
        <v>93</v>
      </c>
      <c r="N34" t="s">
        <v>22</v>
      </c>
      <c r="O34" t="s">
        <v>22</v>
      </c>
      <c r="P34" s="3">
        <f t="shared" si="0"/>
        <v>1.9109999999999998E-5</v>
      </c>
    </row>
    <row r="35" spans="1:17" x14ac:dyDescent="0.2">
      <c r="A35" t="s">
        <v>160</v>
      </c>
      <c r="B35" t="s">
        <v>161</v>
      </c>
      <c r="C35" t="s">
        <v>77</v>
      </c>
      <c r="D35" t="s">
        <v>20</v>
      </c>
      <c r="E35" t="s">
        <v>162</v>
      </c>
      <c r="F35">
        <v>1195.3</v>
      </c>
      <c r="G35">
        <v>357</v>
      </c>
      <c r="H35">
        <v>85</v>
      </c>
      <c r="N35" t="s">
        <v>22</v>
      </c>
      <c r="O35" t="s">
        <v>22</v>
      </c>
      <c r="P35" s="3">
        <f t="shared" si="0"/>
        <v>1.836E-5</v>
      </c>
    </row>
    <row r="36" spans="1:17" x14ac:dyDescent="0.2">
      <c r="A36" t="s">
        <v>163</v>
      </c>
      <c r="B36" t="s">
        <v>164</v>
      </c>
      <c r="C36" t="s">
        <v>165</v>
      </c>
      <c r="D36" t="s">
        <v>166</v>
      </c>
      <c r="E36" t="s">
        <v>167</v>
      </c>
      <c r="F36">
        <v>1413</v>
      </c>
      <c r="G36">
        <v>351</v>
      </c>
      <c r="H36">
        <v>80</v>
      </c>
      <c r="N36" t="s">
        <v>22</v>
      </c>
      <c r="O36" t="s">
        <v>22</v>
      </c>
      <c r="P36" s="3">
        <f t="shared" si="0"/>
        <v>1.7729999999999998E-5</v>
      </c>
    </row>
    <row r="37" spans="1:17" x14ac:dyDescent="0.2">
      <c r="A37" t="s">
        <v>168</v>
      </c>
      <c r="B37" t="s">
        <v>169</v>
      </c>
      <c r="C37" t="s">
        <v>170</v>
      </c>
      <c r="D37" t="s">
        <v>20</v>
      </c>
      <c r="E37" t="s">
        <v>171</v>
      </c>
      <c r="F37">
        <v>1568.2</v>
      </c>
      <c r="G37">
        <v>358</v>
      </c>
      <c r="H37">
        <v>101</v>
      </c>
      <c r="N37" t="s">
        <v>22</v>
      </c>
      <c r="O37" t="s">
        <v>22</v>
      </c>
      <c r="P37" s="3">
        <f t="shared" si="0"/>
        <v>1.9829999999999998E-5</v>
      </c>
    </row>
    <row r="38" spans="1:17" x14ac:dyDescent="0.2">
      <c r="A38" t="s">
        <v>172</v>
      </c>
      <c r="B38" t="s">
        <v>173</v>
      </c>
      <c r="C38" t="s">
        <v>174</v>
      </c>
      <c r="D38" t="s">
        <v>175</v>
      </c>
      <c r="E38" t="s">
        <v>176</v>
      </c>
      <c r="F38">
        <v>1013.5</v>
      </c>
      <c r="G38">
        <v>353</v>
      </c>
      <c r="H38">
        <v>82</v>
      </c>
      <c r="I38" t="s">
        <v>22</v>
      </c>
      <c r="J38" t="s">
        <v>22</v>
      </c>
      <c r="K38" t="s">
        <v>22</v>
      </c>
      <c r="L38" t="s">
        <v>22</v>
      </c>
      <c r="M38" t="s">
        <v>22</v>
      </c>
      <c r="N38" t="s">
        <v>22</v>
      </c>
      <c r="O38" t="s">
        <v>22</v>
      </c>
      <c r="P38" s="3">
        <f t="shared" si="0"/>
        <v>1.7969999999999999E-5</v>
      </c>
      <c r="Q38" t="s">
        <v>23</v>
      </c>
    </row>
    <row r="39" spans="1:17" x14ac:dyDescent="0.2">
      <c r="A39" t="s">
        <v>177</v>
      </c>
      <c r="B39" t="s">
        <v>178</v>
      </c>
      <c r="C39" t="s">
        <v>179</v>
      </c>
      <c r="D39" t="s">
        <v>175</v>
      </c>
      <c r="E39" t="s">
        <v>180</v>
      </c>
      <c r="F39">
        <v>947.3</v>
      </c>
      <c r="G39">
        <v>367</v>
      </c>
      <c r="H39">
        <v>90</v>
      </c>
      <c r="N39" t="s">
        <v>22</v>
      </c>
      <c r="O39" t="s">
        <v>22</v>
      </c>
      <c r="P39" s="3">
        <f t="shared" si="0"/>
        <v>1.9109999999999998E-5</v>
      </c>
    </row>
    <row r="40" spans="1:17" x14ac:dyDescent="0.2">
      <c r="A40" t="s">
        <v>181</v>
      </c>
      <c r="B40" t="s">
        <v>182</v>
      </c>
      <c r="C40" t="s">
        <v>107</v>
      </c>
      <c r="D40" t="s">
        <v>20</v>
      </c>
      <c r="E40" t="s">
        <v>183</v>
      </c>
      <c r="F40">
        <v>1019.3</v>
      </c>
      <c r="G40">
        <v>351</v>
      </c>
      <c r="H40">
        <v>88</v>
      </c>
      <c r="N40" t="s">
        <v>22</v>
      </c>
      <c r="O40" t="s">
        <v>22</v>
      </c>
      <c r="P40" s="3">
        <f t="shared" si="0"/>
        <v>1.8450000000000001E-5</v>
      </c>
    </row>
    <row r="41" spans="1:17" x14ac:dyDescent="0.2">
      <c r="A41" t="s">
        <v>184</v>
      </c>
      <c r="B41" t="s">
        <v>185</v>
      </c>
      <c r="C41" t="s">
        <v>179</v>
      </c>
      <c r="D41" t="s">
        <v>20</v>
      </c>
      <c r="E41" t="s">
        <v>186</v>
      </c>
      <c r="F41">
        <v>759.8</v>
      </c>
      <c r="G41">
        <v>350</v>
      </c>
      <c r="H41">
        <v>72</v>
      </c>
      <c r="N41" t="s">
        <v>22</v>
      </c>
      <c r="O41" t="s">
        <v>22</v>
      </c>
      <c r="P41" s="3">
        <f t="shared" si="0"/>
        <v>1.698E-5</v>
      </c>
    </row>
    <row r="42" spans="1:17" x14ac:dyDescent="0.2">
      <c r="A42" t="s">
        <v>187</v>
      </c>
      <c r="B42" t="s">
        <v>188</v>
      </c>
      <c r="C42" t="s">
        <v>189</v>
      </c>
      <c r="D42" t="s">
        <v>190</v>
      </c>
      <c r="E42" t="s">
        <v>191</v>
      </c>
      <c r="F42">
        <v>851.2</v>
      </c>
      <c r="G42">
        <v>350</v>
      </c>
      <c r="H42">
        <v>82</v>
      </c>
      <c r="N42" t="s">
        <v>22</v>
      </c>
      <c r="O42" t="s">
        <v>22</v>
      </c>
      <c r="P42" s="3">
        <f t="shared" si="0"/>
        <v>1.7879999999999998E-5</v>
      </c>
    </row>
    <row r="43" spans="1:17" x14ac:dyDescent="0.2">
      <c r="A43" t="s">
        <v>192</v>
      </c>
      <c r="B43" t="s">
        <v>193</v>
      </c>
      <c r="C43" t="s">
        <v>179</v>
      </c>
      <c r="D43" t="s">
        <v>20</v>
      </c>
      <c r="E43" t="s">
        <v>194</v>
      </c>
      <c r="F43">
        <v>1140</v>
      </c>
      <c r="G43">
        <v>352</v>
      </c>
      <c r="H43">
        <v>97</v>
      </c>
      <c r="N43" t="s">
        <v>22</v>
      </c>
      <c r="O43" t="s">
        <v>22</v>
      </c>
      <c r="P43" s="3">
        <f t="shared" si="0"/>
        <v>1.929E-5</v>
      </c>
    </row>
    <row r="44" spans="1:17" x14ac:dyDescent="0.2">
      <c r="A44" t="s">
        <v>195</v>
      </c>
      <c r="B44" t="s">
        <v>196</v>
      </c>
      <c r="C44" t="s">
        <v>179</v>
      </c>
      <c r="D44" t="s">
        <v>190</v>
      </c>
      <c r="E44" t="s">
        <v>197</v>
      </c>
      <c r="F44">
        <v>883</v>
      </c>
      <c r="G44">
        <v>355</v>
      </c>
      <c r="H44">
        <v>82</v>
      </c>
      <c r="N44" t="s">
        <v>22</v>
      </c>
      <c r="O44" t="s">
        <v>22</v>
      </c>
      <c r="P44" s="3">
        <f t="shared" si="0"/>
        <v>1.8029999999999998E-5</v>
      </c>
    </row>
    <row r="45" spans="1:17" x14ac:dyDescent="0.2">
      <c r="A45" t="s">
        <v>198</v>
      </c>
      <c r="B45" t="s">
        <v>199</v>
      </c>
      <c r="C45" t="s">
        <v>200</v>
      </c>
      <c r="D45" t="s">
        <v>201</v>
      </c>
      <c r="E45" t="s">
        <v>202</v>
      </c>
      <c r="F45">
        <v>2318.6999999999998</v>
      </c>
      <c r="G45">
        <v>366</v>
      </c>
      <c r="H45">
        <v>100</v>
      </c>
      <c r="I45" t="s">
        <v>32</v>
      </c>
      <c r="J45" t="s">
        <v>22</v>
      </c>
      <c r="K45" t="s">
        <v>32</v>
      </c>
      <c r="L45" t="s">
        <v>22</v>
      </c>
      <c r="M45" t="s">
        <v>152</v>
      </c>
      <c r="N45" t="s">
        <v>22</v>
      </c>
      <c r="O45" t="s">
        <v>22</v>
      </c>
      <c r="P45" s="3">
        <f t="shared" si="0"/>
        <v>1.9980000000000002E-5</v>
      </c>
      <c r="Q45" t="s">
        <v>33</v>
      </c>
    </row>
    <row r="46" spans="1:17" x14ac:dyDescent="0.2">
      <c r="A46" t="s">
        <v>203</v>
      </c>
      <c r="B46" t="s">
        <v>204</v>
      </c>
      <c r="C46" t="s">
        <v>81</v>
      </c>
      <c r="D46" t="s">
        <v>20</v>
      </c>
      <c r="E46" t="s">
        <v>205</v>
      </c>
      <c r="F46">
        <v>992.1</v>
      </c>
      <c r="G46">
        <v>364</v>
      </c>
      <c r="H46">
        <v>90</v>
      </c>
      <c r="N46" t="s">
        <v>22</v>
      </c>
      <c r="O46" t="s">
        <v>22</v>
      </c>
      <c r="P46" s="3">
        <f>(G46*$T$1/1000000)+(H46*$V$1/1000000)</f>
        <v>1.9020000000000001E-5</v>
      </c>
    </row>
    <row r="47" spans="1:17" x14ac:dyDescent="0.2">
      <c r="A47" t="s">
        <v>206</v>
      </c>
      <c r="B47" t="s">
        <v>207</v>
      </c>
      <c r="C47" t="s">
        <v>179</v>
      </c>
      <c r="D47" t="s">
        <v>208</v>
      </c>
      <c r="E47" t="s">
        <v>209</v>
      </c>
      <c r="F47">
        <v>796.8</v>
      </c>
      <c r="G47">
        <v>355</v>
      </c>
      <c r="H47">
        <v>76</v>
      </c>
      <c r="N47" t="s">
        <v>22</v>
      </c>
      <c r="O47" t="s">
        <v>22</v>
      </c>
      <c r="P47" s="3">
        <f t="shared" si="0"/>
        <v>1.749E-5</v>
      </c>
    </row>
    <row r="48" spans="1:17" x14ac:dyDescent="0.2">
      <c r="A48" t="s">
        <v>210</v>
      </c>
      <c r="B48" t="s">
        <v>211</v>
      </c>
      <c r="C48" t="s">
        <v>212</v>
      </c>
      <c r="D48" t="s">
        <v>117</v>
      </c>
      <c r="E48" t="s">
        <v>213</v>
      </c>
      <c r="F48">
        <v>895.7</v>
      </c>
      <c r="G48">
        <v>359</v>
      </c>
      <c r="H48">
        <v>88</v>
      </c>
      <c r="N48" t="s">
        <v>22</v>
      </c>
      <c r="O48" t="s">
        <v>22</v>
      </c>
      <c r="P48" s="3">
        <f t="shared" si="0"/>
        <v>1.8689999999999999E-5</v>
      </c>
    </row>
    <row r="49" spans="1:17" x14ac:dyDescent="0.2">
      <c r="A49" t="s">
        <v>214</v>
      </c>
      <c r="B49" t="s">
        <v>215</v>
      </c>
      <c r="C49" t="s">
        <v>216</v>
      </c>
      <c r="D49" t="s">
        <v>217</v>
      </c>
      <c r="E49" t="s">
        <v>218</v>
      </c>
      <c r="F49">
        <v>1788.9</v>
      </c>
      <c r="G49">
        <v>361</v>
      </c>
      <c r="H49">
        <v>81</v>
      </c>
      <c r="N49" t="s">
        <v>22</v>
      </c>
      <c r="O49" t="s">
        <v>22</v>
      </c>
      <c r="P49" s="3">
        <f t="shared" si="0"/>
        <v>1.8119999999999999E-5</v>
      </c>
    </row>
    <row r="50" spans="1:17" x14ac:dyDescent="0.2">
      <c r="A50" t="s">
        <v>219</v>
      </c>
      <c r="B50" t="s">
        <v>220</v>
      </c>
      <c r="C50" t="s">
        <v>221</v>
      </c>
      <c r="D50" t="s">
        <v>217</v>
      </c>
      <c r="E50" t="s">
        <v>222</v>
      </c>
      <c r="F50">
        <v>1022.5</v>
      </c>
      <c r="G50">
        <v>359</v>
      </c>
      <c r="H50">
        <v>96</v>
      </c>
      <c r="N50" t="s">
        <v>22</v>
      </c>
      <c r="O50" t="s">
        <v>22</v>
      </c>
      <c r="P50" s="3">
        <f t="shared" si="0"/>
        <v>1.9409999999999999E-5</v>
      </c>
    </row>
    <row r="51" spans="1:17" x14ac:dyDescent="0.2">
      <c r="A51" t="s">
        <v>223</v>
      </c>
      <c r="B51" t="s">
        <v>224</v>
      </c>
      <c r="C51" t="s">
        <v>221</v>
      </c>
      <c r="D51" t="s">
        <v>217</v>
      </c>
      <c r="E51" t="s">
        <v>225</v>
      </c>
      <c r="F51">
        <v>1258.8</v>
      </c>
      <c r="G51">
        <v>359</v>
      </c>
      <c r="H51">
        <v>97</v>
      </c>
      <c r="I51" t="s">
        <v>22</v>
      </c>
      <c r="J51" t="s">
        <v>22</v>
      </c>
      <c r="K51" t="s">
        <v>22</v>
      </c>
      <c r="L51" t="s">
        <v>22</v>
      </c>
      <c r="M51" t="s">
        <v>22</v>
      </c>
      <c r="N51" t="s">
        <v>22</v>
      </c>
      <c r="O51" t="s">
        <v>22</v>
      </c>
      <c r="P51" s="3">
        <f t="shared" si="0"/>
        <v>1.95E-5</v>
      </c>
      <c r="Q51"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Yusufova</cp:lastModifiedBy>
  <dcterms:created xsi:type="dcterms:W3CDTF">2026-04-03T09:16:10Z</dcterms:created>
  <dcterms:modified xsi:type="dcterms:W3CDTF">2026-04-03T11:59:54Z</dcterms:modified>
</cp:coreProperties>
</file>